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rchak007\github\myTrading\scratch\"/>
    </mc:Choice>
  </mc:AlternateContent>
  <xr:revisionPtr revIDLastSave="0" documentId="8_{63E69E17-6800-4B4D-A694-34ED810981B4}" xr6:coauthVersionLast="47" xr6:coauthVersionMax="47" xr10:uidLastSave="{00000000-0000-0000-0000-000000000000}"/>
  <bookViews>
    <workbookView xWindow="-120" yWindow="-120" windowWidth="29040" windowHeight="15840" xr2:uid="{0A90FC2C-FFA2-47F1-8DB2-6056E4ED24CF}"/>
  </bookViews>
  <sheets>
    <sheet name="scratch1" sheetId="1" r:id="rId1"/>
  </sheets>
  <calcPr calcId="0"/>
</workbook>
</file>

<file path=xl/calcChain.xml><?xml version="1.0" encoding="utf-8"?>
<calcChain xmlns="http://schemas.openxmlformats.org/spreadsheetml/2006/main">
  <c r="F9" i="1" l="1"/>
  <c r="D9" i="1"/>
  <c r="B9" i="1"/>
</calcChain>
</file>

<file path=xl/sharedStrings.xml><?xml version="1.0" encoding="utf-8"?>
<sst xmlns="http://schemas.openxmlformats.org/spreadsheetml/2006/main" count="29" uniqueCount="18">
  <si>
    <t>symbol</t>
  </si>
  <si>
    <t>quantity</t>
  </si>
  <si>
    <t>avg_price</t>
  </si>
  <si>
    <t>market_value</t>
  </si>
  <si>
    <t>cost_basis</t>
  </si>
  <si>
    <t>unrealized_pl</t>
  </si>
  <si>
    <t>account_type</t>
  </si>
  <si>
    <t>account_name</t>
  </si>
  <si>
    <t>account_number</t>
  </si>
  <si>
    <t>MARGIN</t>
  </si>
  <si>
    <t>TSLA</t>
  </si>
  <si>
    <t>CASH</t>
  </si>
  <si>
    <t>qty</t>
  </si>
  <si>
    <t>acct-15238922</t>
  </si>
  <si>
    <t>acct-35047431</t>
  </si>
  <si>
    <t>acct-50328885</t>
  </si>
  <si>
    <t>acct-67024171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</si>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</sst>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555FD-0EFD-4582-BAA9-36AB491F75EA}">
  <dimension ref="A1:K9"/>
  <sheetViews>
    <sheetView tabSelected="1" workbookViewId="0">
      <selection activeCell="E9" sqref="E9"/>
    </sheetView>
  </sheetViews>
  <sheetFormatPr defaultRowHeight="15" x14ac:dyDescent="0.25"/>
  <cols>
    <col min="1" max="1" width="7.42578125" bestFit="1" customWidth="1"/>
    <col min="2" max="2" width="8.140625" bestFit="1" customWidth="1"/>
    <col min="3" max="3" width="11" bestFit="1" customWidth="1"/>
    <col min="4" max="4" width="12.7109375" bestFit="1" customWidth="1"/>
    <col min="5" max="5" width="10.42578125" bestFit="1" customWidth="1"/>
    <col min="6" max="6" width="12.85546875" bestFit="1" customWidth="1"/>
    <col min="7" max="7" width="12.5703125" bestFit="1" customWidth="1"/>
    <col min="8" max="8" width="42.7109375" customWidth="1"/>
    <col min="9" max="9" width="37.85546875" customWidth="1"/>
    <col min="10" max="10" width="33.42578125" customWidth="1"/>
    <col min="11" max="11" width="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 t="s">
        <v>10</v>
      </c>
      <c r="B2">
        <v>11</v>
      </c>
      <c r="C2">
        <v>372.00090899999998</v>
      </c>
      <c r="D2">
        <v>4856.3900000000003</v>
      </c>
      <c r="E2">
        <v>4092.01</v>
      </c>
      <c r="F2">
        <v>764.38</v>
      </c>
      <c r="G2" t="s">
        <v>11</v>
      </c>
      <c r="H2">
        <v>15238922</v>
      </c>
      <c r="I2">
        <v>15238922</v>
      </c>
    </row>
    <row r="3" spans="1:11" x14ac:dyDescent="0.25">
      <c r="A3" t="s">
        <v>10</v>
      </c>
      <c r="B3">
        <v>28</v>
      </c>
      <c r="C3">
        <v>278.14035699999999</v>
      </c>
      <c r="D3">
        <v>12361.72</v>
      </c>
      <c r="E3">
        <v>7787.93</v>
      </c>
      <c r="F3">
        <v>4573.79</v>
      </c>
      <c r="G3" t="s">
        <v>9</v>
      </c>
      <c r="H3">
        <v>35047431</v>
      </c>
      <c r="I3">
        <v>35047431</v>
      </c>
    </row>
    <row r="4" spans="1:11" x14ac:dyDescent="0.25">
      <c r="A4" t="s">
        <v>10</v>
      </c>
      <c r="B4">
        <v>3</v>
      </c>
      <c r="C4">
        <v>489.74</v>
      </c>
      <c r="D4">
        <v>1324.47</v>
      </c>
      <c r="E4">
        <v>1469.22</v>
      </c>
      <c r="F4">
        <v>-144.75</v>
      </c>
      <c r="G4" t="s">
        <v>9</v>
      </c>
      <c r="H4">
        <v>50328885</v>
      </c>
      <c r="I4">
        <v>50328885</v>
      </c>
    </row>
    <row r="5" spans="1:11" x14ac:dyDescent="0.25">
      <c r="A5" t="s">
        <v>10</v>
      </c>
      <c r="B5">
        <v>197</v>
      </c>
      <c r="C5">
        <v>217.44563500000001</v>
      </c>
      <c r="D5">
        <v>86973.53</v>
      </c>
      <c r="E5">
        <v>42836.79</v>
      </c>
      <c r="F5">
        <v>44136.74</v>
      </c>
      <c r="G5" t="s">
        <v>11</v>
      </c>
      <c r="H5">
        <v>67024171</v>
      </c>
      <c r="I5">
        <v>67024171</v>
      </c>
    </row>
    <row r="8" spans="1:11" x14ac:dyDescent="0.25">
      <c r="B8" t="s">
        <v>12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13</v>
      </c>
      <c r="I8" t="s">
        <v>14</v>
      </c>
      <c r="J8" t="s">
        <v>15</v>
      </c>
      <c r="K8" t="s">
        <v>16</v>
      </c>
    </row>
    <row r="9" spans="1:11" x14ac:dyDescent="0.25">
      <c r="A9" t="s">
        <v>10</v>
      </c>
      <c r="B9">
        <f>SUM(B2:B8)</f>
        <v>239</v>
      </c>
      <c r="D9">
        <f>SUM(D2:D8)</f>
        <v>105516.11</v>
      </c>
      <c r="F9">
        <f>SUM(F2:F8)</f>
        <v>49330.159999999996</v>
      </c>
      <c r="G9" t="s">
        <v>17</v>
      </c>
      <c r="H9">
        <v>11</v>
      </c>
      <c r="I9">
        <v>28</v>
      </c>
      <c r="J9">
        <v>3</v>
      </c>
      <c r="K9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scratch1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Raghavan, Chuck</cp:lastModifiedBy>
  <dcterms:created xsi:type="dcterms:W3CDTF">2026-01-03T06:02:32Z</dcterms:created>
  <dcterms:modified xsi:type="dcterms:W3CDTF">2026-01-03T06:02:32Z</dcterms:modified>
</cp:coreProperties>
</file>